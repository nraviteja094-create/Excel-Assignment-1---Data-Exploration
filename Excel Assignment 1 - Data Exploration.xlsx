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ntrii Assignment\"/>
    </mc:Choice>
  </mc:AlternateContent>
  <xr:revisionPtr revIDLastSave="0" documentId="8_{9F63FC59-502E-4931-B91E-36EB33093F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N8" i="2"/>
  <c r="N7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N6" i="2"/>
  <c r="N5" i="2"/>
  <c r="N4" i="2"/>
  <c r="N3" i="2"/>
  <c r="N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</calcChain>
</file>

<file path=xl/sharedStrings.xml><?xml version="1.0" encoding="utf-8"?>
<sst xmlns="http://schemas.openxmlformats.org/spreadsheetml/2006/main" count="170" uniqueCount="114">
  <si>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</si>
  <si>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</si>
  <si>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</si>
  <si>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</si>
  <si>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</si>
  <si>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</si>
  <si>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</si>
  <si>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</si>
  <si>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</si>
  <si>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</si>
  <si>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</si>
  <si>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</si>
  <si>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</si>
  <si>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</si>
  <si>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</si>
  <si>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</si>
  <si>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</si>
  <si>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</si>
  <si>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</si>
  <si>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</si>
  <si>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</si>
  <si>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</si>
  <si>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</si>
  <si>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</si>
  <si>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</si>
  <si>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</si>
  <si>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</si>
  <si>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</si>
  <si>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</si>
  <si>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</si>
  <si>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</si>
  <si>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</si>
  <si>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</si>
  <si>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</si>
  <si>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</si>
  <si>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</si>
  <si>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</si>
  <si>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</si>
  <si>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</si>
  <si>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</si>
  <si>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</si>
  <si>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</si>
  <si>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</si>
  <si>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</si>
  <si>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</si>
  <si>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</si>
  <si>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</si>
  <si>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</si>
  <si>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</si>
  <si>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</si>
  <si>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</si>
  <si>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</si>
  <si>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</si>
  <si>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</si>
  <si>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</si>
  <si>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</si>
  <si>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</si>
  <si>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</si>
  <si>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</si>
  <si>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</si>
  <si>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</si>
  <si>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</si>
  <si>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</si>
  <si>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</si>
  <si>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</si>
  <si>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</si>
  <si>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</si>
  <si>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</si>
  <si>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</si>
  <si>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</si>
  <si>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</si>
  <si>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</si>
  <si>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</si>
  <si>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</si>
  <si>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</si>
  <si>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</si>
  <si>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</si>
  <si>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</si>
  <si>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</si>
  <si>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</si>
  <si>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</si>
  <si>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</si>
  <si>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</si>
  <si>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</si>
  <si>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</si>
  <si>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</si>
  <si>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</si>
  <si>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</si>
  <si>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</si>
  <si>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</si>
  <si>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</si>
  <si>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</si>
  <si>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</si>
  <si>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</si>
  <si>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</si>
  <si>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</si>
  <si>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</si>
  <si>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</si>
  <si>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</si>
  <si>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</si>
  <si>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</si>
  <si>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</si>
  <si>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</si>
  <si>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</si>
  <si>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</si>
  <si>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</si>
  <si>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</si>
  <si>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</si>
  <si>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</si>
  <si>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</si>
  <si>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Price Range </t>
  </si>
  <si>
    <t>DAY</t>
  </si>
  <si>
    <t>Country code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</si>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</sst>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NumberFormat="1" applyFont="1" applyFill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494EB5-0799-4666-8BEE-65EBBED571C3}" name="Table1" displayName="Table1" ref="A1:J35" totalsRowShown="0" headerRowDxfId="11" dataDxfId="10">
  <autoFilter ref="A1:J35" xr:uid="{31494EB5-0799-4666-8BEE-65EBBED571C3}"/>
  <tableColumns count="10">
    <tableColumn id="1" xr3:uid="{EFE670E8-58BC-4A62-B632-07A16423060E}" name="Product ID" dataDxfId="9"/>
    <tableColumn id="2" xr3:uid="{D2CCD92C-2B26-470C-A28D-A2AA76145C5B}" name="Product Name" dataDxfId="8"/>
    <tableColumn id="3" xr3:uid="{625C797A-09D4-4DF8-AE22-006821155415}" name="Brand Name" dataDxfId="7"/>
    <tableColumn id="4" xr3:uid="{923087E1-37DA-4797-A4B6-0DF9A3DE9A73}" name="Price ($)" dataDxfId="6"/>
    <tableColumn id="5" xr3:uid="{BF3A2691-32BB-44B5-B00E-5985F3799B5A}" name="Quantity" dataDxfId="5"/>
    <tableColumn id="6" xr3:uid="{18B4E72D-F26B-4324-A53D-B713D0CF995A}" name="Category" dataDxfId="4"/>
    <tableColumn id="7" xr3:uid="{36C2E34A-858A-4736-98C0-07D4391379A8}" name="Price Range " dataDxfId="3">
      <calculatedColumnFormula>IF(D2&gt;=500,"High Price","Standard Price")</calculatedColumnFormula>
    </tableColumn>
    <tableColumn id="9" xr3:uid="{3A649F2C-46B3-4D18-8EDB-34862ECFBC83}" name="DAY" dataDxfId="2">
      <calculatedColumnFormula>LEFT(Table1[[#This Row],[Product Name]],2)</calculatedColumnFormula>
    </tableColumn>
    <tableColumn id="10" xr3:uid="{7EC15847-6755-4A24-9B26-28607F91B567}" name="Country code" dataDxfId="1">
      <calculatedColumnFormula>RIGHT(Table1[[#This Row],[Product Name]],2)</calculatedColumnFormula>
    </tableColumn>
    <tableColumn id="11" xr3:uid="{10F6BA27-3CFC-4522-9A2F-CA141808F50F}" name="Month " dataDxfId="0">
      <calculatedColumnFormula>MID(Table1[[#This Row],[Product Name]],4,3)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showGridLines="0" workbookViewId="0">
      <selection activeCell="C21" sqref="C21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4" ht="15.75" customHeight="1" x14ac:dyDescent="0.25">
      <c r="A1" s="1" t="s">
        <v>0</v>
      </c>
    </row>
    <row r="2" spans="1:4" ht="15.75" customHeight="1" x14ac:dyDescent="0.25"/>
    <row r="3" spans="1:4" ht="15.75" customHeight="1" x14ac:dyDescent="0.3">
      <c r="B3" s="2" t="s">
        <v>1</v>
      </c>
    </row>
    <row r="4" spans="1:4" ht="15.75" customHeight="1" x14ac:dyDescent="0.3">
      <c r="B4" s="2"/>
      <c r="C4" s="3" t="s">
        <v>2</v>
      </c>
    </row>
    <row r="5" spans="1:4" ht="15.75" customHeight="1" x14ac:dyDescent="0.3">
      <c r="B5" s="2"/>
      <c r="C5" s="3" t="s">
        <v>3</v>
      </c>
    </row>
    <row r="6" spans="1:4" ht="15.75" customHeight="1" x14ac:dyDescent="0.3">
      <c r="B6" s="2"/>
      <c r="C6" s="3" t="s">
        <v>4</v>
      </c>
    </row>
    <row r="7" spans="1:4" ht="15.75" customHeight="1" x14ac:dyDescent="0.3">
      <c r="B7" s="4"/>
    </row>
    <row r="8" spans="1:4" ht="15.75" customHeight="1" x14ac:dyDescent="0.3">
      <c r="B8" s="2" t="s">
        <v>5</v>
      </c>
    </row>
    <row r="9" spans="1:4" ht="15.75" customHeight="1" x14ac:dyDescent="0.3">
      <c r="C9" s="3" t="s">
        <v>6</v>
      </c>
    </row>
    <row r="10" spans="1:4" ht="15.75" customHeight="1" x14ac:dyDescent="0.25"/>
    <row r="11" spans="1:4" ht="15.75" customHeight="1" x14ac:dyDescent="0.3">
      <c r="B11" s="4"/>
      <c r="D11" s="3" t="s">
        <v>7</v>
      </c>
    </row>
    <row r="12" spans="1:4" ht="15.75" customHeight="1" x14ac:dyDescent="0.3">
      <c r="B12" s="2" t="s">
        <v>8</v>
      </c>
    </row>
    <row r="13" spans="1:4" ht="15.75" customHeight="1" x14ac:dyDescent="0.3">
      <c r="C13" s="3" t="s">
        <v>9</v>
      </c>
    </row>
    <row r="14" spans="1:4" ht="15.75" customHeight="1" x14ac:dyDescent="0.3">
      <c r="B14" s="4"/>
    </row>
    <row r="15" spans="1:4" ht="15.75" customHeight="1" x14ac:dyDescent="0.3">
      <c r="B15" s="2" t="s">
        <v>10</v>
      </c>
    </row>
    <row r="16" spans="1:4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zoomScale="83" workbookViewId="0"/>
  </sheetViews>
  <sheetFormatPr defaultColWidth="12.6640625" defaultRowHeight="15" customHeight="1" x14ac:dyDescent="0.25"/>
  <cols>
    <col min="1" max="1" width="12.6640625" customWidth="1"/>
    <col min="2" max="2" width="15.33203125" customWidth="1"/>
    <col min="3" max="3" width="13.6640625" customWidth="1"/>
    <col min="4" max="4" width="12.77734375" bestFit="1" customWidth="1"/>
    <col min="5" max="6" width="12.6640625" customWidth="1"/>
    <col min="7" max="7" width="17" customWidth="1"/>
    <col min="9" max="9" width="12.77734375" customWidth="1"/>
    <col min="13" max="13" width="85.77734375" customWidth="1"/>
  </cols>
  <sheetData>
    <row r="1" spans="1:14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111</v>
      </c>
      <c r="I1" s="5" t="s">
        <v>112</v>
      </c>
      <c r="J1" s="5" t="s">
        <v>113</v>
      </c>
    </row>
    <row r="2" spans="1:14" ht="15.75" customHeight="1" x14ac:dyDescent="0.3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7" t="str">
        <f t="shared" ref="G2:G35" si="0">IF(D2&gt;=500,"High Price","Standard Price")</f>
        <v>High Price</v>
      </c>
      <c r="H2" s="7" t="str">
        <f>LEFT(Table1[[#This Row],[Product Name]],2)</f>
        <v>La</v>
      </c>
      <c r="I2" s="7" t="str">
        <f>RIGHT(Table1[[#This Row],[Product Name]],2)</f>
        <v>op</v>
      </c>
      <c r="J2" s="9" t="str">
        <f>MID(Table1[[#This Row],[Product Name]],4,3)</f>
        <v>top</v>
      </c>
      <c r="M2" s="3" t="s">
        <v>2</v>
      </c>
      <c r="N2" s="6">
        <f>SUM(Table1[Price ($)])</f>
        <v>10100</v>
      </c>
    </row>
    <row r="3" spans="1:14" ht="15.75" customHeight="1" x14ac:dyDescent="0.3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7" t="str">
        <f t="shared" si="0"/>
        <v>Standard Price</v>
      </c>
      <c r="H3" s="7" t="str">
        <f>LEFT(Table1[[#This Row],[Product Name]],2)</f>
        <v>Sn</v>
      </c>
      <c r="I3" s="7" t="str">
        <f>RIGHT(Table1[[#This Row],[Product Name]],2)</f>
        <v>rs</v>
      </c>
      <c r="J3" s="9" t="str">
        <f>MID(Table1[[#This Row],[Product Name]],4,3)</f>
        <v>ake</v>
      </c>
      <c r="M3" s="3" t="s">
        <v>3</v>
      </c>
      <c r="N3" s="6">
        <f>COUNTA(Table1[Product Name])</f>
        <v>34</v>
      </c>
    </row>
    <row r="4" spans="1:14" ht="15.75" customHeight="1" x14ac:dyDescent="0.3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7" t="str">
        <f t="shared" si="0"/>
        <v>Standard Price</v>
      </c>
      <c r="H4" s="7" t="str">
        <f>LEFT(Table1[[#This Row],[Product Name]],2)</f>
        <v>Co</v>
      </c>
      <c r="I4" s="7" t="str">
        <f>RIGHT(Table1[[#This Row],[Product Name]],2)</f>
        <v>er</v>
      </c>
      <c r="J4" s="9" t="str">
        <f>MID(Table1[[#This Row],[Product Name]],4,3)</f>
        <v>fee</v>
      </c>
      <c r="M4" s="3" t="s">
        <v>4</v>
      </c>
      <c r="N4">
        <f>AVERAGE(Table1[Price ($)])</f>
        <v>297.05882352941177</v>
      </c>
    </row>
    <row r="5" spans="1:14" ht="15.75" customHeight="1" x14ac:dyDescent="0.3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7" t="str">
        <f t="shared" si="0"/>
        <v>High Price</v>
      </c>
      <c r="H5" s="7" t="str">
        <f>LEFT(Table1[[#This Row],[Product Name]],2)</f>
        <v>Sm</v>
      </c>
      <c r="I5" s="7" t="str">
        <f>RIGHT(Table1[[#This Row],[Product Name]],2)</f>
        <v>ne</v>
      </c>
      <c r="J5" s="9" t="str">
        <f>MID(Table1[[#This Row],[Product Name]],4,3)</f>
        <v>rtp</v>
      </c>
      <c r="M5" s="3" t="s">
        <v>6</v>
      </c>
      <c r="N5" s="6">
        <f>MIN(Table1[Price ($)])</f>
        <v>30</v>
      </c>
    </row>
    <row r="6" spans="1:14" ht="15.75" customHeight="1" x14ac:dyDescent="0.3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7" t="str">
        <f t="shared" si="0"/>
        <v>Standard Price</v>
      </c>
      <c r="H6" s="7" t="str">
        <f>LEFT(Table1[[#This Row],[Product Name]],2)</f>
        <v>Ba</v>
      </c>
      <c r="I6" s="7" t="str">
        <f>RIGHT(Table1[[#This Row],[Product Name]],2)</f>
        <v>ck</v>
      </c>
      <c r="J6" s="9" t="str">
        <f>MID(Table1[[#This Row],[Product Name]],4,3)</f>
        <v>kpa</v>
      </c>
      <c r="M6" s="3" t="s">
        <v>7</v>
      </c>
      <c r="N6" s="6">
        <f>MAX(Table1[Price ($)])</f>
        <v>1000</v>
      </c>
    </row>
    <row r="7" spans="1:14" ht="19.8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7" t="str">
        <f t="shared" si="0"/>
        <v>Standard Price</v>
      </c>
      <c r="H7" s="7" t="str">
        <f>LEFT(Table1[[#This Row],[Product Name]],2)</f>
        <v>He</v>
      </c>
      <c r="I7" s="7" t="str">
        <f>RIGHT(Table1[[#This Row],[Product Name]],2)</f>
        <v>es</v>
      </c>
      <c r="J7" s="9" t="str">
        <f>MID(Table1[[#This Row],[Product Name]],4,3)</f>
        <v>dph</v>
      </c>
      <c r="M7" t="s">
        <v>11</v>
      </c>
      <c r="N7" s="6">
        <f>SUMIF(Table1[Category],"Electronics",Table1[Price ($)])</f>
        <v>8050</v>
      </c>
    </row>
    <row r="8" spans="1:14" ht="15.75" customHeight="1" x14ac:dyDescent="0.3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7" t="str">
        <f t="shared" si="0"/>
        <v>Standard Price</v>
      </c>
      <c r="H8" s="7" t="str">
        <f>LEFT(Table1[[#This Row],[Product Name]],2)</f>
        <v>T-</v>
      </c>
      <c r="I8" s="7" t="str">
        <f>RIGHT(Table1[[#This Row],[Product Name]],2)</f>
        <v>rt</v>
      </c>
      <c r="J8" s="9" t="str">
        <f>MID(Table1[[#This Row],[Product Name]],4,3)</f>
        <v>hir</v>
      </c>
      <c r="M8" s="3" t="s">
        <v>12</v>
      </c>
      <c r="N8" s="6">
        <f>COUNTIF(Table1[Price ($)],"&lt;100")</f>
        <v>11</v>
      </c>
    </row>
    <row r="9" spans="1:14" ht="15.75" customHeight="1" x14ac:dyDescent="0.3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7" t="str">
        <f t="shared" si="0"/>
        <v>Standard Price</v>
      </c>
      <c r="H9" s="7" t="str">
        <f>LEFT(Table1[[#This Row],[Product Name]],2)</f>
        <v>Bl</v>
      </c>
      <c r="I9" s="7" t="str">
        <f>RIGHT(Table1[[#This Row],[Product Name]],2)</f>
        <v>er</v>
      </c>
      <c r="J9" s="9" t="str">
        <f>MID(Table1[[#This Row],[Product Name]],4,3)</f>
        <v>nde</v>
      </c>
      <c r="M9" s="3"/>
      <c r="N9" s="6"/>
    </row>
    <row r="10" spans="1:14" ht="15.75" customHeight="1" x14ac:dyDescent="0.25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7" t="str">
        <f t="shared" si="0"/>
        <v>High Price</v>
      </c>
      <c r="H10" s="7" t="str">
        <f>LEFT(Table1[[#This Row],[Product Name]],2)</f>
        <v>Ta</v>
      </c>
      <c r="I10" s="7" t="str">
        <f>RIGHT(Table1[[#This Row],[Product Name]],2)</f>
        <v>et</v>
      </c>
      <c r="J10" s="9" t="str">
        <f>MID(Table1[[#This Row],[Product Name]],4,3)</f>
        <v>let</v>
      </c>
    </row>
    <row r="11" spans="1:14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7" t="str">
        <f t="shared" si="0"/>
        <v>Standard Price</v>
      </c>
      <c r="H11" s="7" t="str">
        <f>LEFT(Table1[[#This Row],[Product Name]],2)</f>
        <v>Hi</v>
      </c>
      <c r="I11" s="7" t="str">
        <f>RIGHT(Table1[[#This Row],[Product Name]],2)</f>
        <v>ts</v>
      </c>
      <c r="J11" s="9" t="str">
        <f>MID(Table1[[#This Row],[Product Name]],4,3)</f>
        <v>ing</v>
      </c>
    </row>
    <row r="12" spans="1:14" ht="15.75" customHeight="1" x14ac:dyDescent="0.25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7" t="str">
        <f t="shared" si="0"/>
        <v>High Price</v>
      </c>
      <c r="H12" s="7" t="str">
        <f>LEFT(Table1[[#This Row],[Product Name]],2)</f>
        <v>La</v>
      </c>
      <c r="I12" s="7" t="str">
        <f>RIGHT(Table1[[#This Row],[Product Name]],2)</f>
        <v>op</v>
      </c>
      <c r="J12" s="9" t="str">
        <f>MID(Table1[[#This Row],[Product Name]],4,3)</f>
        <v>top</v>
      </c>
    </row>
    <row r="13" spans="1:14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7" t="str">
        <f t="shared" si="0"/>
        <v>Standard Price</v>
      </c>
      <c r="H13" s="7" t="str">
        <f>LEFT(Table1[[#This Row],[Product Name]],2)</f>
        <v>Sn</v>
      </c>
      <c r="I13" s="7" t="str">
        <f>RIGHT(Table1[[#This Row],[Product Name]],2)</f>
        <v>rs</v>
      </c>
      <c r="J13" s="9" t="str">
        <f>MID(Table1[[#This Row],[Product Name]],4,3)</f>
        <v>ake</v>
      </c>
    </row>
    <row r="14" spans="1:14" ht="15.75" customHeight="1" x14ac:dyDescent="0.25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7" t="str">
        <f t="shared" si="0"/>
        <v>Standard Price</v>
      </c>
      <c r="H14" s="7" t="str">
        <f>LEFT(Table1[[#This Row],[Product Name]],2)</f>
        <v>Co</v>
      </c>
      <c r="I14" s="7" t="str">
        <f>RIGHT(Table1[[#This Row],[Product Name]],2)</f>
        <v>er</v>
      </c>
      <c r="J14" s="9" t="str">
        <f>MID(Table1[[#This Row],[Product Name]],4,3)</f>
        <v>fee</v>
      </c>
    </row>
    <row r="15" spans="1:14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7" t="str">
        <f t="shared" si="0"/>
        <v>Standard Price</v>
      </c>
      <c r="H15" s="7" t="str">
        <f>LEFT(Table1[[#This Row],[Product Name]],2)</f>
        <v>Sm</v>
      </c>
      <c r="I15" s="7" t="str">
        <f>RIGHT(Table1[[#This Row],[Product Name]],2)</f>
        <v>ch</v>
      </c>
      <c r="J15" s="9" t="str">
        <f>MID(Table1[[#This Row],[Product Name]],4,3)</f>
        <v>rtw</v>
      </c>
    </row>
    <row r="16" spans="1:14" ht="15.75" customHeight="1" x14ac:dyDescent="0.25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7" t="str">
        <f t="shared" si="0"/>
        <v>Standard Price</v>
      </c>
      <c r="H16" s="7" t="str">
        <f>LEFT(Table1[[#This Row],[Product Name]],2)</f>
        <v>He</v>
      </c>
      <c r="I16" s="7" t="str">
        <f>RIGHT(Table1[[#This Row],[Product Name]],2)</f>
        <v>es</v>
      </c>
      <c r="J16" s="9" t="str">
        <f>MID(Table1[[#This Row],[Product Name]],4,3)</f>
        <v>dph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7" t="str">
        <f t="shared" si="0"/>
        <v>Standard Price</v>
      </c>
      <c r="H17" s="7" t="str">
        <f>LEFT(Table1[[#This Row],[Product Name]],2)</f>
        <v>La</v>
      </c>
      <c r="I17" s="7" t="str">
        <f>RIGHT(Table1[[#This Row],[Product Name]],2)</f>
        <v>ag</v>
      </c>
      <c r="J17" s="9" t="str">
        <f>MID(Table1[[#This Row],[Product Name]],4,3)</f>
        <v>top</v>
      </c>
    </row>
    <row r="18" spans="1:10" ht="15.75" customHeight="1" x14ac:dyDescent="0.25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7" t="str">
        <f t="shared" si="0"/>
        <v>Standard Price</v>
      </c>
      <c r="H18" s="7" t="str">
        <f>LEFT(Table1[[#This Row],[Product Name]],2)</f>
        <v>Sm</v>
      </c>
      <c r="I18" s="7" t="str">
        <f>RIGHT(Table1[[#This Row],[Product Name]],2)</f>
        <v>ch</v>
      </c>
      <c r="J18" s="9" t="str">
        <f>MID(Table1[[#This Row],[Product Name]],4,3)</f>
        <v>rtw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7" t="str">
        <f t="shared" si="0"/>
        <v>High Price</v>
      </c>
      <c r="H19" s="7" t="str">
        <f>LEFT(Table1[[#This Row],[Product Name]],2)</f>
        <v>La</v>
      </c>
      <c r="I19" s="7" t="str">
        <f>RIGHT(Table1[[#This Row],[Product Name]],2)</f>
        <v>op</v>
      </c>
      <c r="J19" s="9" t="str">
        <f>MID(Table1[[#This Row],[Product Name]],4,3)</f>
        <v>top</v>
      </c>
    </row>
    <row r="20" spans="1:10" ht="15.75" customHeight="1" x14ac:dyDescent="0.25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7" t="str">
        <f t="shared" si="0"/>
        <v>Standard Price</v>
      </c>
      <c r="H20" s="7" t="str">
        <f>LEFT(Table1[[#This Row],[Product Name]],2)</f>
        <v>Su</v>
      </c>
      <c r="I20" s="7" t="str">
        <f>RIGHT(Table1[[#This Row],[Product Name]],2)</f>
        <v>es</v>
      </c>
      <c r="J20" s="9" t="str">
        <f>MID(Table1[[#This Row],[Product Name]],4,3)</f>
        <v>gla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7" t="str">
        <f t="shared" si="0"/>
        <v>Standard Price</v>
      </c>
      <c r="H21" s="7" t="str">
        <f>LEFT(Table1[[#This Row],[Product Name]],2)</f>
        <v>Ca</v>
      </c>
      <c r="I21" s="7" t="str">
        <f>RIGHT(Table1[[#This Row],[Product Name]],2)</f>
        <v>nt</v>
      </c>
      <c r="J21" s="9" t="str">
        <f>MID(Table1[[#This Row],[Product Name]],4,3)</f>
        <v>pin</v>
      </c>
    </row>
    <row r="22" spans="1:10" ht="15.75" customHeight="1" x14ac:dyDescent="0.25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7" t="str">
        <f t="shared" si="0"/>
        <v>High Price</v>
      </c>
      <c r="H22" s="7" t="str">
        <f>LEFT(Table1[[#This Row],[Product Name]],2)</f>
        <v>Ca</v>
      </c>
      <c r="I22" s="7" t="str">
        <f>RIGHT(Table1[[#This Row],[Product Name]],2)</f>
        <v>ra</v>
      </c>
      <c r="J22" s="9" t="str">
        <f>MID(Table1[[#This Row],[Product Name]],4,3)</f>
        <v>era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7" t="str">
        <f t="shared" si="0"/>
        <v>Standard Price</v>
      </c>
      <c r="H23" s="7" t="str">
        <f>LEFT(Table1[[#This Row],[Product Name]],2)</f>
        <v>Mi</v>
      </c>
      <c r="I23" s="7" t="str">
        <f>RIGHT(Table1[[#This Row],[Product Name]],2)</f>
        <v>ve</v>
      </c>
      <c r="J23" s="9" t="str">
        <f>MID(Table1[[#This Row],[Product Name]],4,3)</f>
        <v>row</v>
      </c>
    </row>
    <row r="24" spans="1:10" ht="15.75" customHeight="1" x14ac:dyDescent="0.25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7" t="str">
        <f t="shared" si="0"/>
        <v>Standard Price</v>
      </c>
      <c r="H24" s="7" t="str">
        <f>LEFT(Table1[[#This Row],[Product Name]],2)</f>
        <v>Fi</v>
      </c>
      <c r="I24" s="7" t="str">
        <f>RIGHT(Table1[[#This Row],[Product Name]],2)</f>
        <v>er</v>
      </c>
      <c r="J24" s="9" t="str">
        <f>MID(Table1[[#This Row],[Product Name]],4,3)</f>
        <v>nes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7" t="str">
        <f t="shared" si="0"/>
        <v>Standard Price</v>
      </c>
      <c r="H25" s="7" t="str">
        <f>LEFT(Table1[[#This Row],[Product Name]],2)</f>
        <v>La</v>
      </c>
      <c r="I25" s="7" t="str">
        <f>RIGHT(Table1[[#This Row],[Product Name]],2)</f>
        <v>ag</v>
      </c>
      <c r="J25" s="9" t="str">
        <f>MID(Table1[[#This Row],[Product Name]],4,3)</f>
        <v>top</v>
      </c>
    </row>
    <row r="26" spans="1:10" ht="15.75" customHeight="1" x14ac:dyDescent="0.25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7" t="str">
        <f t="shared" si="0"/>
        <v>High Price</v>
      </c>
      <c r="H26" s="7" t="str">
        <f>LEFT(Table1[[#This Row],[Product Name]],2)</f>
        <v>Sm</v>
      </c>
      <c r="I26" s="7" t="str">
        <f>RIGHT(Table1[[#This Row],[Product Name]],2)</f>
        <v>ne</v>
      </c>
      <c r="J26" s="9" t="str">
        <f>MID(Table1[[#This Row],[Product Name]],4,3)</f>
        <v>rtp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7" t="str">
        <f t="shared" si="0"/>
        <v>Standard Price</v>
      </c>
      <c r="H27" s="7" t="str">
        <f>LEFT(Table1[[#This Row],[Product Name]],2)</f>
        <v>Su</v>
      </c>
      <c r="I27" s="7" t="str">
        <f>RIGHT(Table1[[#This Row],[Product Name]],2)</f>
        <v>es</v>
      </c>
      <c r="J27" s="9" t="str">
        <f>MID(Table1[[#This Row],[Product Name]],4,3)</f>
        <v>gla</v>
      </c>
    </row>
    <row r="28" spans="1:10" ht="15.75" customHeight="1" x14ac:dyDescent="0.25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7" t="str">
        <f t="shared" si="0"/>
        <v>Standard Price</v>
      </c>
      <c r="H28" s="7" t="str">
        <f>LEFT(Table1[[#This Row],[Product Name]],2)</f>
        <v>Bl</v>
      </c>
      <c r="I28" s="7" t="str">
        <f>RIGHT(Table1[[#This Row],[Product Name]],2)</f>
        <v>er</v>
      </c>
      <c r="J28" s="9" t="str">
        <f>MID(Table1[[#This Row],[Product Name]],4,3)</f>
        <v>nde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7" t="str">
        <f t="shared" si="0"/>
        <v>Standard Price</v>
      </c>
      <c r="H29" s="7" t="str">
        <f>LEFT(Table1[[#This Row],[Product Name]],2)</f>
        <v>He</v>
      </c>
      <c r="I29" s="7" t="str">
        <f>RIGHT(Table1[[#This Row],[Product Name]],2)</f>
        <v>es</v>
      </c>
      <c r="J29" s="9" t="str">
        <f>MID(Table1[[#This Row],[Product Name]],4,3)</f>
        <v>dph</v>
      </c>
    </row>
    <row r="30" spans="1:10" ht="15.75" customHeight="1" x14ac:dyDescent="0.25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7" t="str">
        <f t="shared" si="0"/>
        <v>Standard Price</v>
      </c>
      <c r="H30" s="7" t="str">
        <f>LEFT(Table1[[#This Row],[Product Name]],2)</f>
        <v>Dr</v>
      </c>
      <c r="I30" s="7" t="str">
        <f>RIGHT(Table1[[#This Row],[Product Name]],2)</f>
        <v>ss</v>
      </c>
      <c r="J30" s="9" t="str">
        <f>MID(Table1[[#This Row],[Product Name]],4,3)</f>
        <v>ss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7" t="str">
        <f t="shared" si="0"/>
        <v>Standard Price</v>
      </c>
      <c r="H31" s="7" t="str">
        <f>LEFT(Table1[[#This Row],[Product Name]],2)</f>
        <v>To</v>
      </c>
      <c r="I31" s="7" t="str">
        <f>RIGHT(Table1[[#This Row],[Product Name]],2)</f>
        <v>er</v>
      </c>
      <c r="J31" s="9" t="str">
        <f>MID(Table1[[#This Row],[Product Name]],4,3)</f>
        <v>ste</v>
      </c>
    </row>
    <row r="32" spans="1:10" ht="15.75" customHeight="1" x14ac:dyDescent="0.25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7" t="str">
        <f t="shared" si="0"/>
        <v>Standard Price</v>
      </c>
      <c r="H32" s="7" t="str">
        <f>LEFT(Table1[[#This Row],[Product Name]],2)</f>
        <v>Fi</v>
      </c>
      <c r="I32" s="7" t="str">
        <f>RIGHT(Table1[[#This Row],[Product Name]],2)</f>
        <v>er</v>
      </c>
      <c r="J32" s="9" t="str">
        <f>MID(Table1[[#This Row],[Product Name]],4,3)</f>
        <v>nes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7" t="str">
        <f t="shared" si="0"/>
        <v>Standard Price</v>
      </c>
      <c r="H33" s="7" t="str">
        <f>LEFT(Table1[[#This Row],[Product Name]],2)</f>
        <v>Je</v>
      </c>
      <c r="I33" s="7" t="str">
        <f>RIGHT(Table1[[#This Row],[Product Name]],2)</f>
        <v>ns</v>
      </c>
      <c r="J33" s="9" t="str">
        <f>MID(Table1[[#This Row],[Product Name]],4,3)</f>
        <v>ns</v>
      </c>
    </row>
    <row r="34" spans="1:10" ht="15.75" customHeight="1" x14ac:dyDescent="0.25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7" t="str">
        <f t="shared" si="0"/>
        <v>High Price</v>
      </c>
      <c r="H34" s="7" t="str">
        <f>LEFT(Table1[[#This Row],[Product Name]],2)</f>
        <v>La</v>
      </c>
      <c r="I34" s="7" t="str">
        <f>RIGHT(Table1[[#This Row],[Product Name]],2)</f>
        <v>op</v>
      </c>
      <c r="J34" s="9" t="str">
        <f>MID(Table1[[#This Row],[Product Name]],4,3)</f>
        <v>top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7" t="str">
        <f t="shared" si="0"/>
        <v>Standard Price</v>
      </c>
      <c r="H35" s="7" t="str">
        <f>LEFT(Table1[[#This Row],[Product Name]],2)</f>
        <v>Wa</v>
      </c>
      <c r="I35" s="7" t="str">
        <f>RIGHT(Table1[[#This Row],[Product Name]],2)</f>
        <v>ch</v>
      </c>
      <c r="J35" s="9" t="str">
        <f>MID(Table1[[#This Row],[Product Name]],4,3)</f>
        <v>ch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Ravi Teja</cp:lastModifiedBy>
  <dcterms:created xsi:type="dcterms:W3CDTF">2026-09-15T17:16:25Z</dcterms:created>
  <dcterms:modified xsi:type="dcterms:W3CDTF">2026-09-15T17:16:25Z</dcterms:modified>
</cp:coreProperties>
</file>